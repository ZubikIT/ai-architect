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Параметры" sheetId="1" state="visible" r:id="rId1"/>
    <sheet name="2_Sizing_VRAM" sheetId="2" state="visible" r:id="rId2"/>
    <sheet name="3_Throughput" sheetId="3" state="visible" r:id="rId3"/>
    <sheet name="4_Облака" sheetId="4" state="visible" r:id="rId4"/>
    <sheet name="5_Оптимизация" sheetId="5" state="visible" r:id="rId5"/>
    <sheet name="6_Выво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5" borderId="1" pivotButton="0" quotePrefix="0" xfId="0"/>
    <xf numFmtId="0" fontId="2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62" customWidth="1" min="3" max="3"/>
  </cols>
  <sheetData>
    <row r="1">
      <c r="A1" s="1" t="inlineStr">
        <is>
          <t>ДЗ-17 · Sizing и стоимость инференса Llama-3-70B · 1000 RPM</t>
        </is>
      </c>
    </row>
    <row r="2">
      <c r="A2" t="inlineStr">
        <is>
          <t>Жёлтые ячейки — входные параметры (можно менять), зелёные — расчёт по формулам.</t>
        </is>
      </c>
    </row>
    <row r="4">
      <c r="A4" s="2" t="inlineStr">
        <is>
          <t>МОДЕЛЬ (Llama-3-70B)</t>
        </is>
      </c>
      <c r="B4" s="2" t="n"/>
      <c r="C4" s="2" t="n"/>
    </row>
    <row r="5">
      <c r="A5" s="3" t="inlineStr">
        <is>
          <t>Число параметров, млрд (N)</t>
        </is>
      </c>
      <c r="B5" s="3" t="n">
        <v>70.59999999999999</v>
      </c>
      <c r="C5" s="3" t="inlineStr">
        <is>
          <t>Meta Llama-3-70B(-Instruct)</t>
        </is>
      </c>
    </row>
    <row r="6">
      <c r="A6" s="3" t="inlineStr">
        <is>
          <t>Слоёв (L)</t>
        </is>
      </c>
      <c r="B6" s="3" t="n">
        <v>80</v>
      </c>
      <c r="C6" s="3" t="inlineStr">
        <is>
          <t>конфиг модели</t>
        </is>
      </c>
    </row>
    <row r="7">
      <c r="A7" s="3" t="inlineStr">
        <is>
          <t>KV-голов (GQA)</t>
        </is>
      </c>
      <c r="B7" s="3" t="n">
        <v>8</v>
      </c>
      <c r="C7" s="3" t="inlineStr">
        <is>
          <t>grouped-query attention</t>
        </is>
      </c>
    </row>
    <row r="8">
      <c r="A8" s="3" t="inlineStr">
        <is>
          <t>Размерность головы (head_dim)</t>
        </is>
      </c>
      <c r="B8" s="3" t="n">
        <v>128</v>
      </c>
      <c r="C8" s="3" t="n"/>
    </row>
    <row r="9">
      <c r="A9" s="3" t="inlineStr">
        <is>
          <t>Байт/параметр FP16</t>
        </is>
      </c>
      <c r="B9" s="3" t="n">
        <v>2</v>
      </c>
      <c r="C9" s="3" t="inlineStr">
        <is>
          <t>формула лекции: точность</t>
        </is>
      </c>
    </row>
    <row r="10">
      <c r="A10" s="3" t="inlineStr">
        <is>
          <t>Байт/параметр INT4 (эффективно)</t>
        </is>
      </c>
      <c r="B10" s="3" t="n">
        <v>0.55</v>
      </c>
      <c r="C10" s="3" t="inlineStr">
        <is>
          <t>0.5 + ~10% на scales/zero-points (AWQ/GPTQ)</t>
        </is>
      </c>
    </row>
    <row r="11">
      <c r="A11" s="3" t="inlineStr">
        <is>
          <t>Байт/элемент KV-кэша</t>
        </is>
      </c>
      <c r="B11" s="3" t="n">
        <v>2</v>
      </c>
      <c r="C11" s="3" t="inlineStr">
        <is>
          <t>KV консервативно в FP16 в обоих сценариях</t>
        </is>
      </c>
    </row>
    <row r="12">
      <c r="A12" s="2" t="inlineStr">
        <is>
          <t>НАГРУЗКА</t>
        </is>
      </c>
      <c r="B12" s="2" t="n"/>
      <c r="C12" s="2" t="n"/>
    </row>
    <row r="13">
      <c r="A13" s="3" t="inlineStr">
        <is>
          <t>RPM (запросов в минуту)</t>
        </is>
      </c>
      <c r="B13" s="3" t="n">
        <v>1000</v>
      </c>
      <c r="C13" s="3" t="inlineStr">
        <is>
          <t>условие задачи</t>
        </is>
      </c>
    </row>
    <row r="14">
      <c r="A14" s="4" t="inlineStr">
        <is>
          <t>RPS</t>
        </is>
      </c>
      <c r="B14" s="4">
        <f>B13/60</f>
        <v/>
      </c>
      <c r="C14" s="4" t="n"/>
    </row>
    <row r="15">
      <c r="A15" s="3" t="inlineStr">
        <is>
          <t>Токенов на входе (prompt), ср.</t>
        </is>
      </c>
      <c r="B15" s="3" t="n">
        <v>800</v>
      </c>
      <c r="C15" s="3" t="inlineStr">
        <is>
          <t>допущение: чат с контекстом</t>
        </is>
      </c>
    </row>
    <row r="16">
      <c r="A16" s="3" t="inlineStr">
        <is>
          <t>Токенов на выходе (generation), ср.</t>
        </is>
      </c>
      <c r="B16" s="3" t="n">
        <v>250</v>
      </c>
      <c r="C16" s="3" t="inlineStr">
        <is>
          <t>допущение</t>
        </is>
      </c>
    </row>
    <row r="17">
      <c r="A17" s="4" t="inlineStr">
        <is>
          <t>Требуемый суммарный decode, ток/с</t>
        </is>
      </c>
      <c r="B17" s="4">
        <f>B14*B16</f>
        <v/>
      </c>
      <c r="C17" s="4" t="inlineStr">
        <is>
          <t>RPS × выходные токены</t>
        </is>
      </c>
    </row>
    <row r="18">
      <c r="A18" s="2" t="inlineStr">
        <is>
          <t>МОДЕЛЬ ОБСЛУЖИВАНИЯ (оценки)</t>
        </is>
      </c>
      <c r="B18" s="2" t="n"/>
      <c r="C18" s="2" t="n"/>
    </row>
    <row r="19">
      <c r="A19" s="3" t="inlineStr">
        <is>
          <t>Скорость декодинга FP16, ток/с на запрос</t>
        </is>
      </c>
      <c r="B19" s="3" t="n">
        <v>30</v>
      </c>
      <c r="C19" s="3" t="inlineStr">
        <is>
          <t>TP=4 A100, эфф. утилизация ~50%</t>
        </is>
      </c>
    </row>
    <row r="20">
      <c r="A20" s="3" t="inlineStr">
        <is>
          <t>Скорость декодинга INT4, ток/с на запрос</t>
        </is>
      </c>
      <c r="B20" s="3" t="n">
        <v>40</v>
      </c>
      <c r="C20" s="3" t="inlineStr">
        <is>
          <t>TP=2 A100, memory-bound выигрыш</t>
        </is>
      </c>
    </row>
    <row r="21">
      <c r="A21" s="3" t="inlineStr">
        <is>
          <t>Prefill, с (условно)</t>
        </is>
      </c>
      <c r="B21" s="3" t="n">
        <v>1</v>
      </c>
      <c r="C21" s="3" t="inlineStr">
        <is>
          <t>обработка входного контекста</t>
        </is>
      </c>
    </row>
    <row r="22">
      <c r="A22" s="3" t="inlineStr">
        <is>
          <t>Overhead VRAM (CUDA, активации, буферы), %</t>
        </is>
      </c>
      <c r="B22" s="3" t="n">
        <v>10</v>
      </c>
      <c r="C22" s="3" t="inlineStr">
        <is>
          <t>формула лекции: + Overhead</t>
        </is>
      </c>
    </row>
    <row r="23">
      <c r="A23" s="3" t="inlineStr">
        <is>
          <t>Часов в месяце</t>
        </is>
      </c>
      <c r="B23" s="3" t="n">
        <v>730</v>
      </c>
      <c r="C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60" customWidth="1" min="4" max="4"/>
  </cols>
  <sheetData>
    <row r="1">
      <c r="A1" s="5" t="inlineStr">
        <is>
          <t>Шаг 1 · Hardware Sizing: VRAM = Параметры × Точность + KV-кэш + Overhead</t>
        </is>
      </c>
    </row>
    <row r="3">
      <c r="A3" s="6" t="inlineStr">
        <is>
          <t>Величина</t>
        </is>
      </c>
      <c r="B3" s="6" t="inlineStr">
        <is>
          <t>FP16</t>
        </is>
      </c>
      <c r="C3" s="6" t="inlineStr">
        <is>
          <t>INT4</t>
        </is>
      </c>
      <c r="D3" s="6" t="inlineStr">
        <is>
          <t>Формула / комментарий</t>
        </is>
      </c>
    </row>
    <row r="4">
      <c r="A4" s="4" t="inlineStr">
        <is>
          <t>Веса модели, ГБ</t>
        </is>
      </c>
      <c r="B4" s="4">
        <f>'1_Параметры'!B5*'1_Параметры'!B9</f>
        <v/>
      </c>
      <c r="C4" s="4">
        <f>'1_Параметры'!B5*'1_Параметры'!B10</f>
        <v/>
      </c>
      <c r="D4" s="4" t="inlineStr">
        <is>
          <t>N млрд × байт/параметр</t>
        </is>
      </c>
    </row>
    <row r="5">
      <c r="A5" s="4" t="inlineStr">
        <is>
          <t>KV-кэш на 1 токен, МБ</t>
        </is>
      </c>
      <c r="B5" s="4">
        <f>2*'1_Параметры'!B6*'1_Параметры'!B7*'1_Параметры'!B8*'1_Параметры'!B11/1000000</f>
        <v/>
      </c>
      <c r="C5" s="4">
        <f>2*'1_Параметры'!B6*'1_Параметры'!B7*'1_Параметры'!B8*'1_Параметры'!B11/1000000</f>
        <v/>
      </c>
      <c r="D5" s="4" t="inlineStr">
        <is>
          <t>2(K и V) × L × kv_heads × head_dim × байт (GQA!)</t>
        </is>
      </c>
    </row>
    <row r="6">
      <c r="A6" s="4" t="inlineStr">
        <is>
          <t>Время обслуживания запроса, с</t>
        </is>
      </c>
      <c r="B6" s="4">
        <f>'1_Параметры'!B16/'1_Параметры'!B19+'1_Параметры'!B21</f>
        <v/>
      </c>
      <c r="C6" s="4">
        <f>'1_Параметры'!B16/'1_Параметры'!B20+'1_Параметры'!B21</f>
        <v/>
      </c>
      <c r="D6" s="4" t="inlineStr">
        <is>
          <t>decode + prefill</t>
        </is>
      </c>
    </row>
    <row r="7">
      <c r="A7" s="4" t="inlineStr">
        <is>
          <t>Одновременных запросов (Little's law)</t>
        </is>
      </c>
      <c r="B7" s="4">
        <f>'1_Параметры'!B14*B6</f>
        <v/>
      </c>
      <c r="C7" s="4">
        <f>'1_Параметры'!B14*C6</f>
        <v/>
      </c>
      <c r="D7" s="4" t="inlineStr">
        <is>
          <t>RPS × время обслуживания</t>
        </is>
      </c>
    </row>
    <row r="8">
      <c r="A8" s="4" t="inlineStr">
        <is>
          <t>Средний контекст живого запроса, токенов</t>
        </is>
      </c>
      <c r="B8" s="4">
        <f>'1_Параметры'!B15+'1_Параметры'!B16/2</f>
        <v/>
      </c>
      <c r="C8" s="4">
        <f>'1_Параметры'!B15+'1_Параметры'!B16/2</f>
        <v/>
      </c>
      <c r="D8" s="4" t="inlineStr">
        <is>
          <t>вход + половина выхода</t>
        </is>
      </c>
    </row>
    <row r="9">
      <c r="A9" s="4" t="inlineStr">
        <is>
          <t>KV-кэш суммарно, ГБ</t>
        </is>
      </c>
      <c r="B9" s="4">
        <f>B7*B8*B5/1000</f>
        <v/>
      </c>
      <c r="C9" s="4">
        <f>C7*C8*C5/1000</f>
        <v/>
      </c>
      <c r="D9" s="4" t="inlineStr">
        <is>
          <t>конкурентность × контекст × КВ/токен</t>
        </is>
      </c>
    </row>
    <row r="10">
      <c r="A10" s="7" t="inlineStr">
        <is>
          <t>ИТОГО VRAM, ГБ</t>
        </is>
      </c>
      <c r="B10" s="4">
        <f>(B4+B9)*(1+'1_Параметры'!B22/100)</f>
        <v/>
      </c>
      <c r="C10" s="4">
        <f>(C4+C9)*(1+'1_Параметры'!B22/100)</f>
        <v/>
      </c>
      <c r="D10" s="4" t="inlineStr">
        <is>
          <t>(веса + KV) × (1 + Overhead)</t>
        </is>
      </c>
    </row>
    <row r="12">
      <c r="A12" s="8" t="inlineStr">
        <is>
          <t>Сколько и каких GPU нужно по памяти (шт., ceil(VRAM/объём); скобки — выравнивание под tensor parallel 2/4/8):</t>
        </is>
      </c>
    </row>
    <row r="13">
      <c r="A13" s="6" t="inlineStr">
        <is>
          <t>GPU (VRAM, ГБ)</t>
        </is>
      </c>
      <c r="B13" s="6" t="inlineStr">
        <is>
          <t>FP16</t>
        </is>
      </c>
      <c r="C13" s="6" t="inlineStr">
        <is>
          <t>INT4</t>
        </is>
      </c>
      <c r="D13" s="6" t="inlineStr">
        <is>
          <t>Комментарий</t>
        </is>
      </c>
    </row>
    <row r="14">
      <c r="A14" s="4" t="inlineStr">
        <is>
          <t>A100 80GB (Ampere, HBM 2.0 ТБ/с)</t>
        </is>
      </c>
      <c r="B14" s="4">
        <f>CEILING(B10/80,1)</f>
        <v/>
      </c>
      <c r="C14" s="4">
        <f>CEILING(C10/80,1)</f>
        <v/>
      </c>
      <c r="D14" s="4" t="inlineStr">
        <is>
          <t>FP16 → 3, берём 4 (TP=4); INT4 → 2 (TP=2, NVLink)</t>
        </is>
      </c>
    </row>
    <row r="15">
      <c r="A15" s="4" t="inlineStr">
        <is>
          <t>T4 16GB (Turing, 300 ГБ/с)</t>
        </is>
      </c>
      <c r="B15" s="4">
        <f>CEILING(B10/16,1)</f>
        <v/>
      </c>
      <c r="C15" s="4">
        <f>CEILING(C10/16,1)</f>
        <v/>
      </c>
      <c r="D15" s="4" t="inlineStr">
        <is>
          <t>НЕПРИГОДНА: нет FlashAttention (Ampere+), нет BF16, слабые INT4-ядра, PCIe</t>
        </is>
      </c>
    </row>
    <row r="16">
      <c r="A16" s="4" t="inlineStr">
        <is>
          <t>L4 24GB (Ada, 300 ГБ/с)</t>
        </is>
      </c>
      <c r="B16" s="4">
        <f>CEILING(B10/24,1)</f>
        <v/>
      </c>
      <c r="C16" s="4">
        <f>CEILING(C10/24,1)</f>
        <v/>
      </c>
      <c r="D16" s="4" t="inlineStr">
        <is>
          <t>по памяти INT4 = 4 карты, но bandwidth ×6.7 хуже A100; в RU-облаках почти 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58" customWidth="1" min="4" max="4"/>
  </cols>
  <sheetData>
    <row r="1">
      <c r="A1" s="5" t="inlineStr">
        <is>
          <t>Проверка по пропускной способности (компьют-потолок, эфф. утилизация ~50%)</t>
        </is>
      </c>
    </row>
    <row r="2">
      <c r="A2" t="inlineStr">
        <is>
          <t>FLOPs на токен ≈ 2×N. Потолок ток/с = TFLOPS(эфф.) / (2×N). A100: 312 TFLOPS FP16 dense.</t>
        </is>
      </c>
    </row>
    <row r="4">
      <c r="A4" s="6" t="inlineStr">
        <is>
          <t>Конфигурация реплики</t>
        </is>
      </c>
      <c r="B4" s="6" t="inlineStr">
        <is>
          <t>Потолок ток/с</t>
        </is>
      </c>
      <c r="C4" s="6" t="inlineStr">
        <is>
          <t>RPM на реплику</t>
        </is>
      </c>
      <c r="D4" s="6" t="inlineStr">
        <is>
          <t>Реплик на 1000 RPM</t>
        </is>
      </c>
    </row>
    <row r="5">
      <c r="A5" s="4" t="inlineStr">
        <is>
          <t>FP16 · 4× A100 NVLink (TP=4)</t>
        </is>
      </c>
      <c r="B5" s="4">
        <f>4*312000/(2*'1_Параметры'!B5)*0.5</f>
        <v/>
      </c>
      <c r="C5" s="4">
        <f>B5/'1_Параметры'!B16*60</f>
        <v/>
      </c>
      <c r="D5" s="4">
        <f>CEILING(1000/C5,1)</f>
        <v/>
      </c>
    </row>
    <row r="6">
      <c r="A6" s="4" t="inlineStr">
        <is>
          <t>INT4 · 2× A100 NVLink (TP=2)</t>
        </is>
      </c>
      <c r="B6" s="4">
        <f>2*312000/(2*'1_Параметры'!B5)*0.5</f>
        <v/>
      </c>
      <c r="C6" s="4">
        <f>B6/'1_Параметры'!B16*60</f>
        <v/>
      </c>
      <c r="D6" s="4">
        <f>CEILING(1000/C6,1)</f>
        <v/>
      </c>
    </row>
    <row r="7">
      <c r="A7" s="4" t="inlineStr">
        <is>
          <t>INT4 · 4× T4 (PCIe)</t>
        </is>
      </c>
      <c r="B7" s="4">
        <f>4*65000/(2*'1_Параметры'!B5)*0.5</f>
        <v/>
      </c>
      <c r="C7" s="4">
        <f>B7/'1_Параметры'!B16*60</f>
        <v/>
      </c>
      <c r="D7" s="4">
        <f>CEILING(1000/C7,1)</f>
        <v/>
      </c>
    </row>
    <row r="8">
      <c r="A8" s="4" t="inlineStr">
        <is>
          <t>INT4 · 4× L4 (PCIe)</t>
        </is>
      </c>
      <c r="B8" s="4">
        <f>4*121000/(2*'1_Параметры'!B5)*0.5</f>
        <v/>
      </c>
      <c r="C8" s="4">
        <f>B8/'1_Параметры'!B16*60</f>
        <v/>
      </c>
      <c r="D8" s="4">
        <f>CEILING(1000/C8,1)</f>
        <v/>
      </c>
    </row>
    <row r="10" ht="60" customHeight="1">
      <c r="A10" s="9" t="inlineStr">
        <is>
          <t>Вывод: FP16 4×A100 держит ~1060 RPM (впритык, без запаса) → для прод-надёжности 2 реплики (8× A100). INT4 2×A100 держит ~530 RPM → 2 реплики (4× A100) с HA из коробки. T4: ~440 RPM на 4 карты формально, реально ниже (нет FA/AWQ-ядер) + латентность.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16" customWidth="1" min="4" max="4"/>
    <col width="18" customWidth="1" min="5" max="5"/>
    <col width="44" customWidth="1" min="6" max="6"/>
  </cols>
  <sheetData>
    <row r="1">
      <c r="A1" s="5" t="inlineStr">
        <is>
          <t>Шаг 2 · Стоимость аренды (публичные прайсы, зафиксировано 07.07.2026)</t>
        </is>
      </c>
    </row>
    <row r="2">
      <c r="A2" t="inlineStr">
        <is>
          <t>Облако А: immers.cloud (https://immers.cloud/gpu/a100/) · Облако Б: Intelion Cloud (https://intelion.cloud/tesla-a100-80gb/, «от», скидки 3/6/12 мес = 8/15/25%)</t>
        </is>
      </c>
    </row>
    <row r="4">
      <c r="A4" s="6" t="inlineStr">
        <is>
          <t>Конфигурация</t>
        </is>
      </c>
      <c r="B4" s="6" t="inlineStr">
        <is>
          <t>Облако</t>
        </is>
      </c>
      <c r="C4" s="6" t="inlineStr">
        <is>
          <t>₽/час</t>
        </is>
      </c>
      <c r="D4" s="6" t="inlineStr">
        <is>
          <t>Реплик</t>
        </is>
      </c>
      <c r="E4" s="6" t="inlineStr">
        <is>
          <t>₽/месяц</t>
        </is>
      </c>
      <c r="F4" s="6" t="inlineStr">
        <is>
          <t>Комментарий</t>
        </is>
      </c>
    </row>
    <row r="5">
      <c r="A5" s="4" t="inlineStr">
        <is>
          <t>INT4 · 2× A100 NVLink · 1 реплика (~530 RPM)</t>
        </is>
      </c>
      <c r="B5" s="4" t="inlineStr">
        <is>
          <t>immers.cloud</t>
        </is>
      </c>
      <c r="C5" s="4" t="n">
        <v>439.97</v>
      </c>
      <c r="D5" s="4" t="n">
        <v>1</v>
      </c>
      <c r="E5" s="4">
        <f>C5*D5*'1_Параметры'!B23</f>
        <v/>
      </c>
      <c r="F5" s="4" t="inlineStr">
        <is>
          <t>порог половинной нагрузки</t>
        </is>
      </c>
    </row>
    <row r="6">
      <c r="A6" s="4" t="inlineStr">
        <is>
          <t>INT4 · 2× A100 · 1 реплика</t>
        </is>
      </c>
      <c r="B6" s="4" t="inlineStr">
        <is>
          <t>Intelion («от»)</t>
        </is>
      </c>
      <c r="C6" s="4" t="n">
        <v>346</v>
      </c>
      <c r="D6" s="4" t="n">
        <v>1</v>
      </c>
      <c r="E6" s="4">
        <f>C6*D6*'1_Параметры'!B23</f>
        <v/>
      </c>
      <c r="F6" s="4" t="inlineStr">
        <is>
          <t>2×173 ₽/ч</t>
        </is>
      </c>
    </row>
    <row r="7">
      <c r="A7" s="4" t="inlineStr">
        <is>
          <t>INT4 · 2 реплики 2× A100 = 4× A100 (1000 RPM) ★</t>
        </is>
      </c>
      <c r="B7" s="4" t="inlineStr">
        <is>
          <t>immers.cloud</t>
        </is>
      </c>
      <c r="C7" s="4" t="n">
        <v>439.97</v>
      </c>
      <c r="D7" s="4" t="n">
        <v>2</v>
      </c>
      <c r="E7" s="4">
        <f>C7*D7*'1_Параметры'!B23</f>
        <v/>
      </c>
      <c r="F7" s="4" t="inlineStr">
        <is>
          <t>рекомендация: HA из коробки</t>
        </is>
      </c>
    </row>
    <row r="8">
      <c r="A8" s="4" t="inlineStr">
        <is>
          <t>INT4 · 2 реплики 2× A100 ★</t>
        </is>
      </c>
      <c r="B8" s="4" t="inlineStr">
        <is>
          <t>Intelion («от»)</t>
        </is>
      </c>
      <c r="C8" s="4" t="n">
        <v>346</v>
      </c>
      <c r="D8" s="4" t="n">
        <v>2</v>
      </c>
      <c r="E8" s="4">
        <f>C8*D8*'1_Параметры'!B23</f>
        <v/>
      </c>
      <c r="F8" s="4">
        <f> 505 160 ₽; с −25% (12 мес) = 378 870 ₽</f>
        <v/>
      </c>
    </row>
    <row r="9">
      <c r="A9" s="4" t="inlineStr">
        <is>
          <t>FP16 · 4× A100 · 1 реплика (~1060 RPM, впритык)</t>
        </is>
      </c>
      <c r="B9" s="4" t="inlineStr">
        <is>
          <t>immers.cloud</t>
        </is>
      </c>
      <c r="C9" s="4" t="n">
        <v>879.13</v>
      </c>
      <c r="D9" s="4" t="n">
        <v>1</v>
      </c>
      <c r="E9" s="4">
        <f>C9*D9*'1_Параметры'!B23</f>
        <v/>
      </c>
      <c r="F9" s="4" t="inlineStr">
        <is>
          <t>44 vCPU/512 ГБ</t>
        </is>
      </c>
    </row>
    <row r="10">
      <c r="A10" s="4" t="inlineStr">
        <is>
          <t>FP16 · 4× A100 · 1 реплика</t>
        </is>
      </c>
      <c r="B10" s="4" t="inlineStr">
        <is>
          <t>Intelion («от»)</t>
        </is>
      </c>
      <c r="C10" s="4" t="n">
        <v>692</v>
      </c>
      <c r="D10" s="4" t="n">
        <v>1</v>
      </c>
      <c r="E10" s="4">
        <f>C10*D10*'1_Параметры'!B23</f>
        <v/>
      </c>
      <c r="F10" s="4" t="inlineStr">
        <is>
          <t>4×173 ₽/ч</t>
        </is>
      </c>
    </row>
    <row r="11">
      <c r="A11" s="4" t="inlineStr">
        <is>
          <t>FP16 · 8× A100 NVLink (прод-запас)</t>
        </is>
      </c>
      <c r="B11" s="4" t="inlineStr">
        <is>
          <t>immers.cloud</t>
        </is>
      </c>
      <c r="C11" s="4" t="n">
        <v>1677.58</v>
      </c>
      <c r="D11" s="4" t="n">
        <v>1</v>
      </c>
      <c r="E11" s="4">
        <f>C11*D11*'1_Параметры'!B23</f>
        <v/>
      </c>
      <c r="F11" s="4" t="inlineStr">
        <is>
          <t>44 vCPU/704 ГБ</t>
        </is>
      </c>
    </row>
    <row r="12">
      <c r="A12" s="4" t="inlineStr">
        <is>
          <t>FP16 · 2 реплики 4× A100 (прод-запас)</t>
        </is>
      </c>
      <c r="B12" s="4" t="inlineStr">
        <is>
          <t>Intelion («от»)</t>
        </is>
      </c>
      <c r="C12" s="4" t="n">
        <v>692</v>
      </c>
      <c r="D12" s="4" t="n">
        <v>2</v>
      </c>
      <c r="E12" s="4">
        <f>C12*D12*'1_Параметры'!B23</f>
        <v/>
      </c>
      <c r="F12" s="4" t="inlineStr">
        <is>
          <t>с −25% (12 мес) = 757 740 ₽</t>
        </is>
      </c>
    </row>
    <row r="13">
      <c r="A13" s="4" t="inlineStr">
        <is>
          <t>T4-флот · 5 реплик 4× T4 = 20× T4 (формально)</t>
        </is>
      </c>
      <c r="B13" s="4" t="inlineStr">
        <is>
          <t>immers.cloud</t>
        </is>
      </c>
      <c r="C13" s="4" t="n">
        <v>105.84</v>
      </c>
      <c r="D13" s="4" t="n">
        <v>5</v>
      </c>
      <c r="E13" s="4">
        <f>C13*D13*'1_Параметры'!B23</f>
        <v/>
      </c>
      <c r="F13" s="4" t="inlineStr">
        <is>
          <t>антипример: дешёвая карта ≠ дешёвый флот</t>
        </is>
      </c>
    </row>
    <row r="15" ht="45" customHeight="1">
      <c r="A15" s="9" t="inlineStr">
        <is>
          <t>Справочно: Yandex Cloud (gpu-standard-v3, A100 80GB) и Cloud.ru публикуют цены только в JS-калькуляторах — для расчёта взяты два облака с открытым прайсом; методика идентична.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20" customWidth="1" min="4" max="4"/>
    <col width="52" customWidth="1" min="5" max="5"/>
  </cols>
  <sheetData>
    <row r="1">
      <c r="A1" s="5" t="inlineStr">
        <is>
          <t>Шаг 3 · Эффект батчинга / vLLM (сценарий INT4, реплика 2× A100, immers.cloud)</t>
        </is>
      </c>
    </row>
    <row r="3">
      <c r="A3" s="6" t="inlineStr">
        <is>
          <t>Режим</t>
        </is>
      </c>
      <c r="B3" s="6" t="inlineStr">
        <is>
          <t>Реплик</t>
        </is>
      </c>
      <c r="C3" s="6" t="inlineStr">
        <is>
          <t>₽/месяц</t>
        </is>
      </c>
      <c r="D3" s="6" t="inlineStr">
        <is>
          <t>Экономия vs без батчинга</t>
        </is>
      </c>
      <c r="E3" s="6" t="inlineStr">
        <is>
          <t>Комментарий</t>
        </is>
      </c>
    </row>
    <row r="4">
      <c r="A4" s="4" t="inlineStr">
        <is>
          <t>Без батчинга (batch=1, последовательно)</t>
        </is>
      </c>
      <c r="B4" s="4">
        <f>CEILING('1_Параметры'!B13/(60/('2_Sizing_VRAM'!C6)),1)</f>
        <v/>
      </c>
      <c r="C4" s="4">
        <f>B4*439.97*'1_Параметры'!B23</f>
        <v/>
      </c>
      <c r="D4" s="10">
        <f>1-C4/C$4</f>
        <v/>
      </c>
      <c r="E4" s="4" t="inlineStr">
        <is>
          <t>8.3 запр/мин на реплику → ~121 реплика (242× A100)</t>
        </is>
      </c>
    </row>
    <row r="5">
      <c r="A5" s="4" t="inlineStr">
        <is>
          <t>Статичный батчинг (naive)</t>
        </is>
      </c>
      <c r="B5" s="4" t="n">
        <v>4</v>
      </c>
      <c r="C5" s="4">
        <f>B5*439.97*'1_Параметры'!B23</f>
        <v/>
      </c>
      <c r="D5" s="10">
        <f>1-C5/C$4</f>
        <v/>
      </c>
      <c r="E5" s="4" t="inlineStr">
        <is>
          <t>~50% эффективности continuous: простой на выравнивании длин</t>
        </is>
      </c>
    </row>
    <row r="6">
      <c r="A6" s="4" t="inlineStr">
        <is>
          <t>vLLM: continuous batching + PagedAttention ★</t>
        </is>
      </c>
      <c r="B6" s="4" t="n">
        <v>2</v>
      </c>
      <c r="C6" s="4">
        <f>B6*439.97*'1_Параметры'!B23</f>
        <v/>
      </c>
      <c r="D6" s="10">
        <f>1-C6/C$4</f>
        <v/>
      </c>
      <c r="E6" s="4" t="inlineStr">
        <is>
          <t>предел ~530 RPM/реплика; PagedAttention убирает до 90% потерь KV-VRAM</t>
        </is>
      </c>
    </row>
    <row r="8" ht="60" customHeight="1">
      <c r="A8" s="9" t="inlineStr">
        <is>
          <t>Прогноз экономии: continuous batching (vLLM) снижает счёт с ~38.9 млн ₽/мес (без батчинга) до 642 тыс ₽/мес — экономия ~98%. Против статичного батчинга — ~2× (простои на выравнивании длин батча). Дополнительно: FP8/INT8-квантование KV-кэша удваивает ёмкость по одновременным запросам без новых карт.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Шаг 4 · Рекомендация</t>
        </is>
      </c>
    </row>
    <row r="3" ht="46" customHeight="1">
      <c r="A3" s="9" t="inlineStr">
        <is>
          <t>1. Llama-3-70B INT4 (AWQ или GPTQ) под vLLM (continuous batching + PagedAttention + FlashAttention-2).</t>
        </is>
      </c>
    </row>
    <row r="4" ht="46" customHeight="1">
      <c r="A4" s="9" t="inlineStr">
        <is>
          <t>2. Конфигурация: 2 реплики × (2× A100 80GB NVLink) = 4× A100. Память: 83 ГБ/реплику из 160 доступных — большой KV-бюджет под длинные контексты. Throughput: 2×530 ≈ 1060 RPM с HA из коробки (отказ одной реплики = деградация до 530 RPM, а не даунтайм).</t>
        </is>
      </c>
    </row>
    <row r="5" ht="46" customHeight="1">
      <c r="A5" s="9" t="inlineStr">
        <is>
          <t>3. Стоимость: immers.cloud ~642 тыс ₽/мес; Intelion ~505 тыс ₽/мес («от»), при годовом резерве (−25%) ~379 тыс ₽/мес.</t>
        </is>
      </c>
    </row>
    <row r="6" ht="46" customHeight="1">
      <c r="A6" s="9" t="inlineStr">
        <is>
          <t>4. FP16 оправдан только если офлайн-eval (урок 13) покажет недопустимую деградацию INT4: тогда 8× A100 ≈ 1.0–1.2 млн ₽/мес (×2 дороже) — при том же качестве обслуживания.</t>
        </is>
      </c>
    </row>
    <row r="7" ht="46" customHeight="1">
      <c r="A7" s="9" t="inlineStr">
        <is>
          <t>5. T4 — непригодна (Turing: нет FlashAttention/BF16, 16 ГБ, PCIe): «дешёвая карта» оборачивается флотом 20+ карт с худшей латентностью за сопоставимые деньги. L4 по памяти проходит в INT4 (4×24 ГБ), но 300 ГБ/с bandwidth и фактическое отсутствие в RU-облаках снимают её с рассмотрения для 70B; её ниша — модели 7–8B.</t>
        </is>
      </c>
    </row>
    <row r="8" ht="46" customHeight="1">
      <c r="A8" s="9" t="inlineStr">
        <is>
          <t>6. Квантование INT4 снижает требование VRAM с 207 до 83 ГБ (−60%): вместо обязательных 4 карт в одном сервере — пары карт, т.е. более дешёвые и доступные конфигурации, плавное масштабирование шагом ~530 RPM и дешёвый DR-резерв.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2026-07-07T12:30:55Z</dcterms:created>
  <dcterms:modified xsi:type="dcterms:W3CDTF">2026-07-07T12:30:55Z</dcterms:modified>
</cp:coreProperties>
</file>